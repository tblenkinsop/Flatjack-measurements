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gltb4/Desktop/In situ stress/"/>
    </mc:Choice>
  </mc:AlternateContent>
  <xr:revisionPtr revIDLastSave="0" documentId="13_ncr:1_{4C620343-AD9F-2B49-B8AA-628F0CC2E7E2}" xr6:coauthVersionLast="47" xr6:coauthVersionMax="47" xr10:uidLastSave="{00000000-0000-0000-0000-000000000000}"/>
  <bookViews>
    <workbookView xWindow="620" yWindow="-21000" windowWidth="30680" windowHeight="19820" xr2:uid="{7C8FFF9C-8D8F-834E-BBD2-9040E8A57467}"/>
  </bookViews>
  <sheets>
    <sheet name="Ardley Fields Farm" sheetId="23" r:id="rId1"/>
    <sheet name="Daglngworth" sheetId="10" r:id="rId2"/>
    <sheet name="Cadeby" sheetId="20" r:id="rId3"/>
    <sheet name="Thrislington" sheetId="21" r:id="rId4"/>
  </sheets>
  <definedNames>
    <definedName name="_xlnm._FilterDatabase" localSheetId="0" hidden="1">'Ardley Fields Farm'!$A$1:$C$1</definedName>
    <definedName name="_xlnm._FilterDatabase" localSheetId="2" hidden="1">Cadeby!$A$1:$C$1</definedName>
    <definedName name="_xlnm._FilterDatabase" localSheetId="1" hidden="1">Daglngworth!$A$1:$C$1</definedName>
    <definedName name="_xlnm._FilterDatabase" localSheetId="3" hidden="1">Thrislington!$A$1:$F$1</definedName>
    <definedName name="ABEDLS01" localSheetId="0">'Ardley Fields Farm'!$B$2:$C$22</definedName>
    <definedName name="Cadeby_phase_1" localSheetId="2">Cadeby!#REF!</definedName>
    <definedName name="Cadey_Phase_2" localSheetId="2">Cadeby!$H$1:$M$24</definedName>
    <definedName name="DBEDLS" localSheetId="1">Daglngworth!$A$2:$C$20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3" l="1"/>
  <c r="A7" i="23"/>
  <c r="A21" i="23"/>
  <c r="A17" i="23"/>
  <c r="A22" i="23"/>
  <c r="A6" i="23"/>
  <c r="A19" i="23"/>
  <c r="A13" i="23"/>
  <c r="A5" i="23"/>
  <c r="A9" i="23"/>
  <c r="A4" i="23"/>
  <c r="A15" i="23"/>
  <c r="A20" i="23"/>
  <c r="A18" i="23"/>
  <c r="A16" i="23"/>
  <c r="A14" i="23"/>
  <c r="A11" i="23"/>
  <c r="A12" i="23"/>
  <c r="A8" i="23"/>
  <c r="A3" i="23"/>
  <c r="A2" i="23"/>
  <c r="A3" i="21"/>
  <c r="A4" i="21"/>
  <c r="A5" i="21"/>
  <c r="A7" i="21"/>
  <c r="A8" i="21"/>
  <c r="A9" i="21"/>
  <c r="A10" i="21"/>
  <c r="A12" i="21"/>
  <c r="A13" i="21"/>
  <c r="A15" i="21"/>
  <c r="A17" i="21"/>
  <c r="A18" i="21"/>
  <c r="A19" i="21"/>
  <c r="A20" i="21"/>
  <c r="A22" i="21"/>
  <c r="A23" i="21"/>
  <c r="A14" i="21"/>
  <c r="A16" i="21"/>
  <c r="A21" i="21"/>
  <c r="A6" i="21"/>
  <c r="A11" i="21"/>
  <c r="A24" i="21"/>
  <c r="A2" i="21"/>
  <c r="A17" i="10"/>
  <c r="A8" i="10"/>
  <c r="A7" i="10"/>
  <c r="A20" i="10"/>
  <c r="A19" i="10"/>
  <c r="A18" i="10"/>
  <c r="A16" i="10"/>
  <c r="A15" i="10"/>
  <c r="A14" i="10"/>
  <c r="A13" i="10"/>
  <c r="A12" i="10"/>
  <c r="A11" i="10"/>
  <c r="A10" i="10"/>
  <c r="A9" i="10"/>
  <c r="A6" i="10"/>
  <c r="A5" i="10"/>
  <c r="A4" i="10"/>
  <c r="A3" i="10"/>
  <c r="A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919C57-C892-F141-9A66-FF38EC203A98}" name="ABEDLS011" type="6" refreshedVersion="8" background="1" saveData="1">
    <textPr sourceFile="/Users/sgltb4/Documents/Keele Data/ABEDLS01" comma="1">
      <textFields count="2">
        <textField/>
        <textField/>
      </textFields>
    </textPr>
  </connection>
  <connection id="2" xr16:uid="{75E9C009-C5A1-144B-967E-6651FF8EDE13}" name="Cadey Phase 2" type="6" refreshedVersion="8" background="1" saveData="1">
    <textPr sourceFile="/Users/sgltb4/Desktop/In situ stress/Cadey Phase 2.txt" space="1" consecutive="1">
      <textFields count="5">
        <textField/>
        <textField/>
        <textField/>
        <textField/>
        <textField/>
      </textFields>
    </textPr>
  </connection>
  <connection id="3" xr16:uid="{56C2D846-30C8-D545-8933-388CE8ED31D4}" name="DBEDLS" type="6" refreshedVersion="8" background="1" saveData="1">
    <textPr sourceFile="/Users/sgltb4/Documents/Keele Data/DBEDLS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<sst xmlns="http://schemas.openxmlformats.org/spreadsheetml/2006/main" count="12" uniqueCount="3">
  <si>
    <t>s</t>
  </si>
  <si>
    <t>Flatjack Az, Degrees</t>
  </si>
  <si>
    <r>
      <rPr>
        <sz val="12"/>
        <color theme="1"/>
        <rFont val="Symbol"/>
        <charset val="2"/>
      </rPr>
      <t>s</t>
    </r>
    <r>
      <rPr>
        <sz val="12"/>
        <color theme="1"/>
        <rFont val="Aptos Narrow"/>
        <family val="2"/>
        <scheme val="minor"/>
      </rPr>
      <t xml:space="preserve"> Az, Radians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</si>
</sst>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Symbol"/>
      <charset val="2"/>
    </font>
    <font>
      <sz val="12"/>
      <color theme="1"/>
      <name val="Aptos Narrow"/>
      <family val="2"/>
      <charset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11" fontId="3" fillId="0" borderId="0" xfId="0" applyNumberFormat="1" applyFont="1"/>
    <xf numFmtId="11" fontId="3" fillId="0" borderId="0" xfId="0" applyNumberFormat="1" applyFont="1" applyAlignment="1">
      <alignment horizontal="right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EDLS01" connectionId="1" xr16:uid="{2B29F3A9-0C28-C84E-9ECC-75462EC1581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BEDLS" connectionId="3" xr16:uid="{8B0AA24E-F730-904D-885C-5D472BC5E7CE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dey Phase 2" connectionId="2" xr16:uid="{0979A4EF-7E64-244F-9665-7B577290A47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060C-EB04-4C46-8FCF-764C77106352}">
  <dimension ref="A1:C22"/>
  <sheetViews>
    <sheetView tabSelected="1" workbookViewId="0">
      <selection activeCell="I30" sqref="I30"/>
    </sheetView>
  </sheetViews>
  <sheetFormatPr baseColWidth="10" defaultRowHeight="16" x14ac:dyDescent="0.2"/>
  <cols>
    <col min="1" max="1" width="18.83203125" customWidth="1"/>
    <col min="2" max="3" width="14.33203125" customWidth="1"/>
  </cols>
  <sheetData>
    <row r="1" spans="1:3" x14ac:dyDescent="0.2">
      <c r="A1" t="s">
        <v>1</v>
      </c>
      <c r="B1" s="4" t="s">
        <v>2</v>
      </c>
      <c r="C1" s="3" t="s">
        <v>0</v>
      </c>
    </row>
    <row r="2" spans="1:3" x14ac:dyDescent="0.2">
      <c r="A2" s="2">
        <f>DEGREES(B2)+90</f>
        <v>3.0250066991410307</v>
      </c>
      <c r="B2">
        <v>-1.518</v>
      </c>
      <c r="C2" s="5">
        <v>1.49</v>
      </c>
    </row>
    <row r="3" spans="1:3" x14ac:dyDescent="0.2">
      <c r="A3" s="2">
        <f>DEGREES(B3)+90</f>
        <v>8.0097395167791916</v>
      </c>
      <c r="B3">
        <v>-1.431</v>
      </c>
      <c r="C3" s="5">
        <v>1.75</v>
      </c>
    </row>
    <row r="4" spans="1:3" x14ac:dyDescent="0.2">
      <c r="A4" s="2">
        <f>DEGREES(B4)+90</f>
        <v>14.025796365652837</v>
      </c>
      <c r="B4">
        <v>-1.3260000000000001</v>
      </c>
      <c r="C4" s="5">
        <v>0.432</v>
      </c>
    </row>
    <row r="5" spans="1:3" x14ac:dyDescent="0.2">
      <c r="A5" s="2">
        <f>DEGREES(B5)+90</f>
        <v>17.979205152055528</v>
      </c>
      <c r="B5">
        <v>-1.2569999999999999</v>
      </c>
      <c r="C5" s="5">
        <v>0.123</v>
      </c>
    </row>
    <row r="6" spans="1:3" x14ac:dyDescent="0.2">
      <c r="A6" s="2">
        <f>DEGREES(B6)+90</f>
        <v>19.9845574350134</v>
      </c>
      <c r="B6">
        <v>-1.222</v>
      </c>
      <c r="C6" s="5">
        <v>0.66</v>
      </c>
    </row>
    <row r="7" spans="1:3" x14ac:dyDescent="0.2">
      <c r="A7" s="2">
        <f>DEGREES(B7)+90</f>
        <v>23.021233749206758</v>
      </c>
      <c r="B7">
        <v>-1.169</v>
      </c>
      <c r="C7" s="5">
        <v>0.86499999999999999</v>
      </c>
    </row>
    <row r="8" spans="1:3" x14ac:dyDescent="0.2">
      <c r="A8" s="2">
        <f>DEGREES(B8)+90</f>
        <v>30.011318849802812</v>
      </c>
      <c r="B8">
        <v>-1.0469999999999999</v>
      </c>
      <c r="C8" s="5">
        <v>1.18</v>
      </c>
    </row>
    <row r="9" spans="1:3" x14ac:dyDescent="0.2">
      <c r="A9" s="2">
        <f>DEGREES(B9)+90</f>
        <v>41.986136768037014</v>
      </c>
      <c r="B9">
        <v>-0.83799999999999997</v>
      </c>
      <c r="C9" s="5">
        <v>1.1200000000000001</v>
      </c>
    </row>
    <row r="10" spans="1:3" x14ac:dyDescent="0.2">
      <c r="A10" s="2">
        <f>DEGREES(B10)+90</f>
        <v>61.008335566380346</v>
      </c>
      <c r="B10">
        <v>-0.50600000000000001</v>
      </c>
      <c r="C10" s="5">
        <v>1.22</v>
      </c>
    </row>
    <row r="11" spans="1:3" x14ac:dyDescent="0.2">
      <c r="A11" s="2">
        <f>DEGREES(B11)+90</f>
        <v>61.982363818102741</v>
      </c>
      <c r="B11">
        <v>-0.48899999999999999</v>
      </c>
      <c r="C11" s="5">
        <v>0.93</v>
      </c>
    </row>
    <row r="12" spans="1:3" x14ac:dyDescent="0.2">
      <c r="A12" s="2">
        <f>DEGREES(B12)+90</f>
        <v>80.030534364723678</v>
      </c>
      <c r="B12">
        <v>-0.17399999999999999</v>
      </c>
      <c r="C12" s="5">
        <v>0.49199999999999999</v>
      </c>
    </row>
    <row r="13" spans="1:3" x14ac:dyDescent="0.2">
      <c r="A13" s="2">
        <f>DEGREES(B13)+90</f>
        <v>89.025971748277598</v>
      </c>
      <c r="B13">
        <v>-1.7000000000000001E-2</v>
      </c>
      <c r="C13" s="5">
        <v>1.03</v>
      </c>
    </row>
    <row r="14" spans="1:3" x14ac:dyDescent="0.2">
      <c r="A14" s="2">
        <f>DEGREES(B14)+90</f>
        <v>91.002676141478943</v>
      </c>
      <c r="B14">
        <v>1.7500000000000002E-2</v>
      </c>
      <c r="C14" s="5">
        <v>2.21</v>
      </c>
    </row>
    <row r="15" spans="1:3" x14ac:dyDescent="0.2">
      <c r="A15" s="2">
        <f>DEGREES(B15)+90</f>
        <v>103.00614194946969</v>
      </c>
      <c r="B15">
        <v>0.22700000000000001</v>
      </c>
      <c r="C15" s="5">
        <v>0.97099999999999997</v>
      </c>
    </row>
    <row r="16" spans="1:3" x14ac:dyDescent="0.2">
      <c r="A16" s="2">
        <f>DEGREES(B16)+90</f>
        <v>120.99701671657753</v>
      </c>
      <c r="B16">
        <v>0.54100000000000004</v>
      </c>
      <c r="C16" s="5">
        <v>1.36</v>
      </c>
    </row>
    <row r="17" spans="1:3" x14ac:dyDescent="0.2">
      <c r="A17" s="2">
        <f>DEGREES(B17)+90</f>
        <v>127.01307356545118</v>
      </c>
      <c r="B17">
        <v>0.64600000000000002</v>
      </c>
      <c r="C17" s="5">
        <v>1.49</v>
      </c>
    </row>
    <row r="18" spans="1:3" x14ac:dyDescent="0.2">
      <c r="A18" s="2">
        <f>DEGREES(B18)+90</f>
        <v>136.00851094900511</v>
      </c>
      <c r="B18">
        <v>0.80300000000000005</v>
      </c>
      <c r="C18" s="5">
        <v>0.28599999999999998</v>
      </c>
    </row>
    <row r="19" spans="1:3" x14ac:dyDescent="0.2">
      <c r="A19" s="2">
        <f>DEGREES(B19)+90</f>
        <v>140.01921551492086</v>
      </c>
      <c r="B19">
        <v>0.873</v>
      </c>
      <c r="C19" s="5">
        <v>1.49</v>
      </c>
    </row>
    <row r="20" spans="1:3" x14ac:dyDescent="0.2">
      <c r="A20" s="2">
        <f>DEGREES(B20)+90</f>
        <v>142.99859604960116</v>
      </c>
      <c r="B20">
        <v>0.92500000000000004</v>
      </c>
      <c r="C20" s="5">
        <v>2.3199999999999998</v>
      </c>
    </row>
    <row r="21" spans="1:3" x14ac:dyDescent="0.2">
      <c r="A21" s="2">
        <f>DEGREES(B21)+90</f>
        <v>143.97262430132355</v>
      </c>
      <c r="B21">
        <v>0.94199999999999995</v>
      </c>
      <c r="C21" s="5">
        <v>0.86499999999999999</v>
      </c>
    </row>
    <row r="22" spans="1:3" x14ac:dyDescent="0.2">
      <c r="A22" s="2">
        <f>DEGREES(B22)+90</f>
        <v>175.02693679741418</v>
      </c>
      <c r="B22">
        <v>1.484</v>
      </c>
      <c r="C22" s="5">
        <v>1.48</v>
      </c>
    </row>
  </sheetData>
  <autoFilter ref="A1:C1" xr:uid="{5E6A060C-EB04-4C46-8FCF-764C77106352}">
    <sortState xmlns:xlrd2="http://schemas.microsoft.com/office/spreadsheetml/2017/richdata2" ref="A2:C22">
      <sortCondition ref="A1:A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9910-BE95-AC48-94B6-CDE36D613C14}">
  <sheetPr codeName="Sheet9"/>
  <dimension ref="A1:C20"/>
  <sheetViews>
    <sheetView workbookViewId="0">
      <selection activeCell="B2" sqref="B2:B20"/>
    </sheetView>
  </sheetViews>
  <sheetFormatPr baseColWidth="10" defaultRowHeight="16" x14ac:dyDescent="0.2"/>
  <cols>
    <col min="1" max="1" width="19.83203125" customWidth="1"/>
    <col min="2" max="2" width="16" customWidth="1"/>
    <col min="3" max="3" width="9.33203125" bestFit="1" customWidth="1"/>
  </cols>
  <sheetData>
    <row r="1" spans="1:3" x14ac:dyDescent="0.2">
      <c r="A1" t="s">
        <v>1</v>
      </c>
      <c r="B1" s="4" t="s">
        <v>2</v>
      </c>
      <c r="C1" s="3" t="s">
        <v>0</v>
      </c>
    </row>
    <row r="2" spans="1:3" x14ac:dyDescent="0.2">
      <c r="A2" s="2">
        <f>DEGREES(B2)+90</f>
        <v>-1.1440431934275352E-2</v>
      </c>
      <c r="B2" s="5">
        <v>-1.5709960000000001</v>
      </c>
      <c r="C2" s="5">
        <v>0.40400000000000003</v>
      </c>
    </row>
    <row r="3" spans="1:3" x14ac:dyDescent="0.2">
      <c r="A3" s="2">
        <f>DEGREES(B3)+90</f>
        <v>28.005966566844926</v>
      </c>
      <c r="B3" s="5">
        <v>-1.0820000000000001</v>
      </c>
      <c r="C3" s="5">
        <v>0.17799999999999999</v>
      </c>
    </row>
    <row r="4" spans="1:3" x14ac:dyDescent="0.2">
      <c r="A4" s="2">
        <f>DEGREES(B4)+90</f>
        <v>34.022046334030378</v>
      </c>
      <c r="B4" s="5">
        <v>-0.97699959999999997</v>
      </c>
      <c r="C4" s="5">
        <v>0.49199999999999999</v>
      </c>
    </row>
    <row r="5" spans="1:3" x14ac:dyDescent="0.2">
      <c r="A5" s="2">
        <f>DEGREES(B5)+90</f>
        <v>45.996864252264579</v>
      </c>
      <c r="B5" s="5">
        <v>-0.7679996</v>
      </c>
      <c r="C5" s="5">
        <v>0.35099999999999998</v>
      </c>
    </row>
    <row r="6" spans="1:3" x14ac:dyDescent="0.2">
      <c r="A6" s="2">
        <f>DEGREES(B6)+90</f>
        <v>48.002199346488609</v>
      </c>
      <c r="B6" s="5">
        <v>-0.73299990000000004</v>
      </c>
      <c r="C6" s="5">
        <v>-5.9900000000000002E-2</v>
      </c>
    </row>
    <row r="7" spans="1:3" x14ac:dyDescent="0.2">
      <c r="A7" s="2">
        <f>DEGREES(B7)+90</f>
        <v>48.976221868633061</v>
      </c>
      <c r="B7" s="5">
        <v>-0.71599999999999997</v>
      </c>
      <c r="C7" s="5">
        <v>-0.63800000000000001</v>
      </c>
    </row>
    <row r="8" spans="1:3" x14ac:dyDescent="0.2">
      <c r="A8" s="2">
        <f>DEGREES(B8)+90</f>
        <v>50.98159134032479</v>
      </c>
      <c r="B8" s="5">
        <v>-0.68099969999999999</v>
      </c>
      <c r="C8" s="5">
        <v>-0.41099999999999998</v>
      </c>
    </row>
    <row r="9" spans="1:3" x14ac:dyDescent="0.2">
      <c r="A9" s="2">
        <f>DEGREES(B9)+90</f>
        <v>54.99228444708465</v>
      </c>
      <c r="B9" s="5">
        <v>-0.61099990000000004</v>
      </c>
      <c r="C9" s="5">
        <v>-0.67</v>
      </c>
    </row>
    <row r="10" spans="1:3" x14ac:dyDescent="0.2">
      <c r="A10" s="2">
        <f>DEGREES(B10)+90</f>
        <v>68.972466107432638</v>
      </c>
      <c r="B10" s="5">
        <v>-0.36699969999999998</v>
      </c>
      <c r="C10" s="5">
        <v>-0.13800000000000001</v>
      </c>
    </row>
    <row r="11" spans="1:3" x14ac:dyDescent="0.2">
      <c r="A11" s="2">
        <f>DEGREES(B11)+90</f>
        <v>79.973238585210595</v>
      </c>
      <c r="B11" s="5">
        <v>-0.17499999999999999</v>
      </c>
      <c r="C11" s="5">
        <v>-0.64600000000000002</v>
      </c>
    </row>
    <row r="12" spans="1:3" x14ac:dyDescent="0.2">
      <c r="A12" s="2">
        <f>DEGREES(B12)+90</f>
        <v>91.002674995563353</v>
      </c>
      <c r="B12" s="5">
        <v>1.7499979999999998E-2</v>
      </c>
      <c r="C12" s="5">
        <v>-0.97099999999999997</v>
      </c>
    </row>
    <row r="13" spans="1:3" x14ac:dyDescent="0.2">
      <c r="A13" s="2">
        <f>DEGREES(B13)+90</f>
        <v>98.021403402253569</v>
      </c>
      <c r="B13" s="5">
        <v>0.13999990000000001</v>
      </c>
      <c r="C13" s="5">
        <v>-0.22800000000000001</v>
      </c>
    </row>
    <row r="14" spans="1:3" x14ac:dyDescent="0.2">
      <c r="A14" s="2">
        <f>DEGREES(B14)+90</f>
        <v>111.02753389256736</v>
      </c>
      <c r="B14" s="5">
        <v>0.36699969999999998</v>
      </c>
      <c r="C14" s="5">
        <v>-0.376</v>
      </c>
    </row>
    <row r="15" spans="1:3" x14ac:dyDescent="0.2">
      <c r="A15" s="2">
        <f>DEGREES(B15)+90</f>
        <v>122.02834074781302</v>
      </c>
      <c r="B15" s="5">
        <v>0.55900000000000005</v>
      </c>
      <c r="C15" s="5">
        <v>-0.191</v>
      </c>
    </row>
    <row r="16" spans="1:3" x14ac:dyDescent="0.2">
      <c r="A16" s="2">
        <f>DEGREES(B16)+90</f>
        <v>129.99243691139759</v>
      </c>
      <c r="B16" s="5">
        <v>0.6979997</v>
      </c>
      <c r="C16" s="5">
        <v>-0.34699999999999998</v>
      </c>
    </row>
    <row r="17" spans="1:3" x14ac:dyDescent="0.2">
      <c r="A17" s="2">
        <f>DEGREES(B17)+90</f>
        <v>134.97716972903578</v>
      </c>
      <c r="B17" s="5">
        <v>0.78499969999999997</v>
      </c>
      <c r="C17" s="5">
        <v>-1.1200000000000001</v>
      </c>
    </row>
    <row r="18" spans="1:3" x14ac:dyDescent="0.2">
      <c r="A18" s="2">
        <f>DEGREES(B18)+90</f>
        <v>140.99322657790941</v>
      </c>
      <c r="B18" s="5">
        <v>0.88999969999999995</v>
      </c>
      <c r="C18" s="5">
        <v>-0.17499999999999999</v>
      </c>
    </row>
    <row r="19" spans="1:3" x14ac:dyDescent="0.2">
      <c r="A19" s="2">
        <f>DEGREES(B19)+90</f>
        <v>147.98309968412124</v>
      </c>
      <c r="B19" s="5">
        <v>1.0119959999999999</v>
      </c>
      <c r="C19" s="5">
        <v>-0.20200000000000001</v>
      </c>
    </row>
    <row r="20" spans="1:3" x14ac:dyDescent="0.2">
      <c r="A20" s="2">
        <f>DEGREES(B20)+90</f>
        <v>162.02062296060592</v>
      </c>
      <c r="B20" s="5">
        <v>1.2569969999999999</v>
      </c>
      <c r="C20" s="5">
        <v>-0.40699999999999997</v>
      </c>
    </row>
  </sheetData>
  <autoFilter ref="A1:C1" xr:uid="{9D5F9910-BE95-AC48-94B6-CDE36D613C14}">
    <sortState xmlns:xlrd2="http://schemas.microsoft.com/office/spreadsheetml/2017/richdata2" ref="A2:C20">
      <sortCondition ref="A1:A2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9E6E-A972-084B-855C-AA2E79992C35}">
  <sheetPr codeName="Sheet11"/>
  <dimension ref="A1:C24"/>
  <sheetViews>
    <sheetView workbookViewId="0">
      <selection activeCell="B2" sqref="B2:B24"/>
    </sheetView>
  </sheetViews>
  <sheetFormatPr baseColWidth="10" defaultRowHeight="16" x14ac:dyDescent="0.2"/>
  <cols>
    <col min="1" max="1" width="22.5" customWidth="1"/>
    <col min="2" max="2" width="15.33203125" customWidth="1"/>
  </cols>
  <sheetData>
    <row r="1" spans="1:3" x14ac:dyDescent="0.2">
      <c r="A1" t="s">
        <v>1</v>
      </c>
      <c r="B1" s="4" t="s">
        <v>2</v>
      </c>
      <c r="C1" s="3" t="s">
        <v>0</v>
      </c>
    </row>
    <row r="2" spans="1:3" x14ac:dyDescent="0.2">
      <c r="A2" s="2">
        <v>2.0053522830000001</v>
      </c>
      <c r="B2" s="5">
        <v>-1.54</v>
      </c>
      <c r="C2" s="5">
        <v>0.157</v>
      </c>
    </row>
    <row r="3" spans="1:3" x14ac:dyDescent="0.2">
      <c r="A3" s="2">
        <v>15.068790010000001</v>
      </c>
      <c r="B3" s="5">
        <v>-1.31</v>
      </c>
      <c r="C3" s="5">
        <v>0.57999999999999996</v>
      </c>
    </row>
    <row r="4" spans="1:3" x14ac:dyDescent="0.2">
      <c r="A4" s="2">
        <v>16.042818260000001</v>
      </c>
      <c r="B4" s="5">
        <v>-1.29</v>
      </c>
      <c r="C4" s="5">
        <v>0.26600000000000001</v>
      </c>
    </row>
    <row r="5" spans="1:3" x14ac:dyDescent="0.2">
      <c r="A5" s="2">
        <v>22.001579329999998</v>
      </c>
      <c r="B5" s="5">
        <v>-1.19</v>
      </c>
      <c r="C5" s="5">
        <v>0.17199999999999999</v>
      </c>
    </row>
    <row r="6" spans="1:3" x14ac:dyDescent="0.2">
      <c r="A6" s="2">
        <v>30.022988460000001</v>
      </c>
      <c r="B6" s="5">
        <v>-1.05</v>
      </c>
      <c r="C6" s="5">
        <v>0.39400000000000002</v>
      </c>
    </row>
    <row r="7" spans="1:3" x14ac:dyDescent="0.2">
      <c r="A7" s="2">
        <v>36.021856579999998</v>
      </c>
      <c r="B7" s="5">
        <v>-0.94199999999999995</v>
      </c>
      <c r="C7" s="5">
        <v>0.83899999999999997</v>
      </c>
    </row>
    <row r="8" spans="1:3" x14ac:dyDescent="0.2">
      <c r="A8" s="2">
        <v>54.986759599999999</v>
      </c>
      <c r="B8" s="5">
        <v>-0.61099999999999999</v>
      </c>
      <c r="C8" s="5">
        <v>0.32900000000000001</v>
      </c>
    </row>
    <row r="9" spans="1:3" x14ac:dyDescent="0.2">
      <c r="A9" s="2">
        <v>62.016951740000003</v>
      </c>
      <c r="B9" s="5">
        <v>-0.48899999999999999</v>
      </c>
      <c r="C9" s="5">
        <v>0.36099999999999999</v>
      </c>
    </row>
    <row r="10" spans="1:3" x14ac:dyDescent="0.2">
      <c r="A10" s="2">
        <v>64.984873120000003</v>
      </c>
      <c r="B10" s="5">
        <v>-0.437</v>
      </c>
      <c r="C10" s="5">
        <v>0.12</v>
      </c>
    </row>
    <row r="11" spans="1:3" x14ac:dyDescent="0.2">
      <c r="A11" s="2">
        <v>71.018118709999996</v>
      </c>
      <c r="B11" s="5">
        <v>-0.33200000000000002</v>
      </c>
      <c r="C11" s="5">
        <v>0.30399999999999999</v>
      </c>
    </row>
    <row r="12" spans="1:3" x14ac:dyDescent="0.2">
      <c r="A12" s="2">
        <v>83.015854939999997</v>
      </c>
      <c r="B12" s="5">
        <v>-0.122</v>
      </c>
      <c r="C12" s="5">
        <v>0.36</v>
      </c>
    </row>
    <row r="13" spans="1:3" x14ac:dyDescent="0.2">
      <c r="A13" s="2">
        <v>93.011103669999997</v>
      </c>
      <c r="B13" s="5">
        <v>5.2400000000000002E-2</v>
      </c>
      <c r="C13" s="5">
        <v>-0.17100000000000001</v>
      </c>
    </row>
    <row r="14" spans="1:3" x14ac:dyDescent="0.2">
      <c r="A14" s="2">
        <v>102.0094058</v>
      </c>
      <c r="B14" s="5">
        <v>0.20899999999999999</v>
      </c>
      <c r="C14" s="5">
        <v>0.13</v>
      </c>
    </row>
    <row r="15" spans="1:3" x14ac:dyDescent="0.2">
      <c r="A15" s="2">
        <v>109.00522049999999</v>
      </c>
      <c r="B15" s="5">
        <v>0.33200000000000002</v>
      </c>
      <c r="C15" s="5">
        <v>0.186</v>
      </c>
    </row>
    <row r="16" spans="1:3" x14ac:dyDescent="0.2">
      <c r="A16" s="2">
        <v>117.00371130000001</v>
      </c>
      <c r="B16" s="5">
        <v>0.47099999999999997</v>
      </c>
      <c r="C16" s="5">
        <v>0.13700000000000001</v>
      </c>
    </row>
    <row r="17" spans="1:3" x14ac:dyDescent="0.2">
      <c r="A17" s="2">
        <v>131.00107030000001</v>
      </c>
      <c r="B17" s="5">
        <v>0.71499999999999997</v>
      </c>
      <c r="C17" s="5">
        <v>8.5999999999999993E-2</v>
      </c>
    </row>
    <row r="18" spans="1:3" x14ac:dyDescent="0.2">
      <c r="A18" s="2">
        <v>140.9991838</v>
      </c>
      <c r="B18" s="5">
        <v>0.89</v>
      </c>
      <c r="C18" s="5">
        <v>5.2499999999999998E-2</v>
      </c>
    </row>
    <row r="19" spans="1:3" x14ac:dyDescent="0.2">
      <c r="A19" s="2">
        <v>146.0011054</v>
      </c>
      <c r="B19" s="5">
        <v>0.97699999999999998</v>
      </c>
      <c r="C19" s="5">
        <v>-1.2E-2</v>
      </c>
    </row>
    <row r="20" spans="1:3" x14ac:dyDescent="0.2">
      <c r="A20" s="2">
        <v>158.9957881</v>
      </c>
      <c r="B20" s="5">
        <v>1.2</v>
      </c>
      <c r="C20" s="5">
        <v>-0.16600000000000001</v>
      </c>
    </row>
    <row r="21" spans="1:3" x14ac:dyDescent="0.2">
      <c r="A21" s="2">
        <v>165.01184499999999</v>
      </c>
      <c r="B21" s="5">
        <v>1.31</v>
      </c>
      <c r="C21" s="5">
        <v>0.24299999999999999</v>
      </c>
    </row>
    <row r="22" spans="1:3" x14ac:dyDescent="0.2">
      <c r="A22" s="2">
        <v>169.99657780000001</v>
      </c>
      <c r="B22" s="5">
        <v>1.4</v>
      </c>
      <c r="C22" s="5">
        <v>0.20899999999999999</v>
      </c>
    </row>
    <row r="23" spans="1:3" x14ac:dyDescent="0.2">
      <c r="A23" s="2">
        <v>174.40835279999999</v>
      </c>
      <c r="B23" s="5">
        <v>1.47</v>
      </c>
      <c r="C23" s="5">
        <v>0.53700000000000003</v>
      </c>
    </row>
    <row r="24" spans="1:3" x14ac:dyDescent="0.2">
      <c r="A24" s="2">
        <v>178.01798690000001</v>
      </c>
      <c r="B24" s="5">
        <v>1.54</v>
      </c>
      <c r="C24" s="5">
        <v>0.32200000000000001</v>
      </c>
    </row>
  </sheetData>
  <autoFilter ref="A1:C1" xr:uid="{7E589E6E-A972-084B-855C-AA2E79992C35}"/>
  <sortState xmlns:xlrd2="http://schemas.microsoft.com/office/spreadsheetml/2017/richdata2" ref="H2:L24">
    <sortCondition ref="H2:H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BEE3-584E-A641-8A31-DBAC5EE4CF01}">
  <dimension ref="A1:F24"/>
  <sheetViews>
    <sheetView workbookViewId="0">
      <selection activeCell="I30" sqref="I30"/>
    </sheetView>
  </sheetViews>
  <sheetFormatPr baseColWidth="10" defaultRowHeight="16" x14ac:dyDescent="0.2"/>
  <cols>
    <col min="2" max="2" width="12.6640625" customWidth="1"/>
    <col min="3" max="3" width="11.33203125" bestFit="1" customWidth="1"/>
  </cols>
  <sheetData>
    <row r="1" spans="1:6" x14ac:dyDescent="0.2">
      <c r="A1" t="s">
        <v>1</v>
      </c>
      <c r="B1" s="4" t="s">
        <v>2</v>
      </c>
      <c r="C1" s="3" t="s">
        <v>0</v>
      </c>
      <c r="D1" s="6"/>
      <c r="E1" s="6"/>
    </row>
    <row r="2" spans="1:6" x14ac:dyDescent="0.2">
      <c r="A2" s="2">
        <f>DEGREES(B2+3.142/2)</f>
        <v>3.0366763141933593</v>
      </c>
      <c r="B2" s="9">
        <v>-1.518</v>
      </c>
      <c r="C2" s="9">
        <v>0.10100000000000001</v>
      </c>
      <c r="D2" s="7"/>
      <c r="E2" s="7"/>
      <c r="F2" s="1"/>
    </row>
    <row r="3" spans="1:6" x14ac:dyDescent="0.2">
      <c r="A3" s="2">
        <f>DEGREES(B3+3.142/2)</f>
        <v>8.9954373835539272</v>
      </c>
      <c r="B3" s="9">
        <v>-1.4139999999999999</v>
      </c>
      <c r="C3" s="9">
        <v>-0.48699999999999999</v>
      </c>
      <c r="D3" s="7"/>
      <c r="E3" s="7"/>
      <c r="F3" s="1"/>
    </row>
    <row r="4" spans="1:6" x14ac:dyDescent="0.2">
      <c r="A4" s="2">
        <f>DEGREES(B4+3.142/2)</f>
        <v>15.01149423242757</v>
      </c>
      <c r="B4" s="9">
        <v>-1.3089999999999999</v>
      </c>
      <c r="C4" s="9">
        <v>0.114</v>
      </c>
      <c r="D4" s="7"/>
      <c r="E4" s="7"/>
      <c r="F4" s="1"/>
    </row>
    <row r="5" spans="1:6" x14ac:dyDescent="0.2">
      <c r="A5" s="2">
        <f>DEGREES(B5+3.142/2)</f>
        <v>36.039045313728778</v>
      </c>
      <c r="B5" s="9">
        <v>-0.94199999999999995</v>
      </c>
      <c r="C5" s="9">
        <v>-0.19400000000000001</v>
      </c>
      <c r="D5" s="7"/>
      <c r="E5" s="7"/>
      <c r="F5" s="1"/>
    </row>
    <row r="6" spans="1:6" x14ac:dyDescent="0.2">
      <c r="A6" s="2">
        <f>DEGREES(B6+3.142/2)</f>
        <v>37.987101817173574</v>
      </c>
      <c r="B6" s="9">
        <v>-0.90800000000000003</v>
      </c>
      <c r="C6" s="9">
        <v>0.09</v>
      </c>
      <c r="D6" s="7"/>
      <c r="E6" s="7"/>
      <c r="F6" s="1"/>
    </row>
    <row r="7" spans="1:6" x14ac:dyDescent="0.2">
      <c r="A7" s="2">
        <f>DEGREES(B7+3.142/2)</f>
        <v>41.99780638308934</v>
      </c>
      <c r="B7" s="9">
        <v>-0.83799999999999997</v>
      </c>
      <c r="C7" s="9">
        <v>-0.315</v>
      </c>
      <c r="D7" s="7"/>
      <c r="E7" s="7"/>
      <c r="F7" s="1"/>
    </row>
    <row r="8" spans="1:6" x14ac:dyDescent="0.2">
      <c r="A8" s="2">
        <f>DEGREES(B8+3.142/2)</f>
        <v>52.998596049601147</v>
      </c>
      <c r="B8" s="9">
        <v>-0.64600000000000002</v>
      </c>
      <c r="C8" s="9">
        <v>-0.38300000000000001</v>
      </c>
      <c r="D8" s="7"/>
      <c r="E8" s="7"/>
      <c r="F8" s="1"/>
    </row>
    <row r="9" spans="1:6" x14ac:dyDescent="0.2">
      <c r="A9" s="2">
        <f>DEGREES(B9+3.142/2)</f>
        <v>61.020005181432673</v>
      </c>
      <c r="B9" s="9">
        <v>-0.50600000000000001</v>
      </c>
      <c r="C9" s="9">
        <v>0.19500000000000001</v>
      </c>
      <c r="D9" s="8"/>
      <c r="E9" s="7"/>
      <c r="F9" s="1"/>
    </row>
    <row r="10" spans="1:6" x14ac:dyDescent="0.2">
      <c r="A10" s="2">
        <f>DEGREES(B10+3.142/2)</f>
        <v>67.036062030306311</v>
      </c>
      <c r="B10" s="10">
        <v>-0.40100000000000002</v>
      </c>
      <c r="C10" s="9">
        <v>0.30599999999999999</v>
      </c>
      <c r="D10" s="7"/>
      <c r="E10" s="7"/>
      <c r="F10" s="1"/>
    </row>
    <row r="11" spans="1:6" x14ac:dyDescent="0.2">
      <c r="A11" s="2">
        <f>DEGREES(B11+3.142/2)</f>
        <v>68.010090282028713</v>
      </c>
      <c r="B11" s="9">
        <v>-0.38400000000000001</v>
      </c>
      <c r="C11" s="9">
        <v>-0.253</v>
      </c>
      <c r="D11" s="7"/>
      <c r="E11" s="7"/>
      <c r="F11" s="1"/>
    </row>
    <row r="12" spans="1:6" x14ac:dyDescent="0.2">
      <c r="A12" s="2">
        <f>DEGREES(B12+3.142/2)</f>
        <v>77.005527665582633</v>
      </c>
      <c r="B12" s="9">
        <v>-0.22700000000000001</v>
      </c>
      <c r="C12" s="9">
        <v>-0.371</v>
      </c>
      <c r="D12" s="7"/>
      <c r="E12" s="7"/>
      <c r="F12" s="1"/>
    </row>
    <row r="13" spans="1:6" x14ac:dyDescent="0.2">
      <c r="A13" s="2">
        <f>DEGREES(B13+3.142/2)</f>
        <v>88.006317332094454</v>
      </c>
      <c r="B13" s="9">
        <v>-3.5000000000000003E-2</v>
      </c>
      <c r="C13" s="9">
        <v>-1.7999999999999999E-2</v>
      </c>
      <c r="D13" s="7"/>
      <c r="E13" s="7"/>
      <c r="F13" s="1"/>
    </row>
    <row r="14" spans="1:6" x14ac:dyDescent="0.2">
      <c r="A14" s="2">
        <f>DEGREES(B14+3.142/2)</f>
        <v>99.007106998606247</v>
      </c>
      <c r="B14" s="9">
        <v>0.157</v>
      </c>
      <c r="C14" s="9">
        <v>-0.40300000000000002</v>
      </c>
      <c r="D14" s="7"/>
      <c r="E14" s="7"/>
      <c r="F14" s="1"/>
    </row>
    <row r="15" spans="1:6" x14ac:dyDescent="0.2">
      <c r="A15" s="2">
        <f>DEGREES(B15+3.142/2)</f>
        <v>105.02316384747989</v>
      </c>
      <c r="B15" s="9">
        <v>0.26200000000000001</v>
      </c>
      <c r="C15" s="9">
        <v>-0.20399999999999999</v>
      </c>
      <c r="D15" s="7"/>
      <c r="E15" s="7"/>
      <c r="F15" s="1"/>
    </row>
    <row r="16" spans="1:6" x14ac:dyDescent="0.2">
      <c r="A16" s="2">
        <f>DEGREES(B16+3.142/2)</f>
        <v>107.02851613043778</v>
      </c>
      <c r="B16" s="9">
        <v>0.29699999999999999</v>
      </c>
      <c r="C16" s="10">
        <v>0.157</v>
      </c>
      <c r="D16" s="7"/>
      <c r="E16" s="7"/>
      <c r="F16" s="1"/>
    </row>
    <row r="17" spans="1:6" x14ac:dyDescent="0.2">
      <c r="A17" s="2">
        <f>DEGREES(B17+3.142/2)</f>
        <v>123.98806686631013</v>
      </c>
      <c r="B17" s="9">
        <v>0.59299999999999997</v>
      </c>
      <c r="C17" s="9">
        <v>-9.4E-2</v>
      </c>
      <c r="D17" s="7"/>
      <c r="E17" s="7"/>
      <c r="F17" s="1"/>
    </row>
    <row r="18" spans="1:6" x14ac:dyDescent="0.2">
      <c r="A18" s="2">
        <f>DEGREES(B18+3.142/2)</f>
        <v>125.99341914926802</v>
      </c>
      <c r="B18" s="9">
        <v>0.628</v>
      </c>
      <c r="C18" s="9">
        <v>-0.186</v>
      </c>
      <c r="D18" s="7"/>
      <c r="E18" s="7"/>
      <c r="F18" s="1"/>
    </row>
    <row r="19" spans="1:6" x14ac:dyDescent="0.2">
      <c r="A19" s="2">
        <f>DEGREES(B19+3.142/2)</f>
        <v>138.99956109873773</v>
      </c>
      <c r="B19" s="9">
        <v>0.85499999999999998</v>
      </c>
      <c r="C19" s="9">
        <v>0.30599999999999999</v>
      </c>
      <c r="D19" s="7"/>
      <c r="E19" s="7"/>
      <c r="F19" s="1"/>
    </row>
    <row r="20" spans="1:6" x14ac:dyDescent="0.2">
      <c r="A20" s="2">
        <f>DEGREES(B20+3.142/2)</f>
        <v>154.01105533116527</v>
      </c>
      <c r="B20" s="9">
        <v>1.117</v>
      </c>
      <c r="C20" s="9">
        <v>-0.71099999999999997</v>
      </c>
      <c r="D20" s="7"/>
      <c r="E20" s="7"/>
      <c r="F20" s="1"/>
    </row>
    <row r="21" spans="1:6" x14ac:dyDescent="0.2">
      <c r="A21" s="2">
        <f>DEGREES(B21+3.142/2)</f>
        <v>158.02175989708104</v>
      </c>
      <c r="B21" s="9">
        <v>1.1870000000000001</v>
      </c>
      <c r="C21" s="9">
        <v>-0.441</v>
      </c>
      <c r="D21" s="6"/>
      <c r="E21" s="7"/>
      <c r="F21" s="1"/>
    </row>
    <row r="22" spans="1:6" x14ac:dyDescent="0.2">
      <c r="A22" s="2">
        <f>DEGREES(B22+3.142/2)</f>
        <v>162.03246446299681</v>
      </c>
      <c r="B22" s="9">
        <v>1.2569999999999999</v>
      </c>
      <c r="C22" s="9">
        <v>-3.6999999999999998E-2</v>
      </c>
      <c r="D22" s="7"/>
      <c r="E22" s="7"/>
      <c r="F22" s="1"/>
    </row>
    <row r="23" spans="1:6" x14ac:dyDescent="0.2">
      <c r="A23" s="2">
        <f>DEGREES(B23+3.142/2)</f>
        <v>167.01719728063497</v>
      </c>
      <c r="B23" s="9">
        <v>1.3440000000000001</v>
      </c>
      <c r="C23" s="9">
        <v>-0.60899999999999999</v>
      </c>
      <c r="D23" s="7"/>
      <c r="E23" s="7"/>
      <c r="F23" s="1"/>
    </row>
    <row r="24" spans="1:6" x14ac:dyDescent="0.2">
      <c r="A24" s="2">
        <f>DEGREES(B24+3.142/2)</f>
        <v>172.00193009827311</v>
      </c>
      <c r="B24" s="9">
        <v>1.431</v>
      </c>
      <c r="C24" s="9">
        <v>0.442</v>
      </c>
      <c r="D24" s="7"/>
      <c r="E24" s="7"/>
      <c r="F24" s="1"/>
    </row>
  </sheetData>
  <autoFilter ref="A1:F1" xr:uid="{F52EBEE3-584E-A641-8A31-DBAC5EE4CF01}">
    <sortState xmlns:xlrd2="http://schemas.microsoft.com/office/spreadsheetml/2017/richdata2" ref="A2:F24">
      <sortCondition ref="A1:A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Ardley Fields Farm</vt:lpstr>
      <vt:lpstr>Daglngworth</vt:lpstr>
      <vt:lpstr>Cadeby</vt:lpstr>
      <vt:lpstr>Thrislington</vt:lpstr>
      <vt:lpstr>'Ardley Fields Farm'!ABEDLS01</vt:lpstr>
      <vt:lpstr>Cadeby!Cadey_Phase_2</vt:lpstr>
      <vt:lpstr>Daglngworth!DBEDLS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Blenkinsop</dc:creator>
  <cp:lastModifiedBy>Thomas Blenkinsop</cp:lastModifiedBy>
  <dcterms:created xsi:type="dcterms:W3CDTF">2026-02-24T11:50:00Z</dcterms:created>
  <dcterms:modified xsi:type="dcterms:W3CDTF">2026-10-06T09:20:32Z</dcterms:modified>
</cp:coreProperties>
</file>